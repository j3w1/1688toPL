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7a64d2f9be4b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df9f645a5a1e4722"/>
    <x:sheet xmlns:r="http://schemas.openxmlformats.org/officeDocument/2006/relationships" name="Guide" sheetId="2" r:id="R8e83ff73d9e84d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@"/>
    <x:numFmt numFmtId="201" formatCode="#,##0"/>
    <x:numFmt numFmtId="202" formatCode="&quot;¥&quot; #,##0.00"/>
    <x:numFmt numFmtId="203" formatCode="0.###"/>
    <x:numFmt numFmtId="204" formatCode="0.######"/>
    <x:numFmt numFmtId="205" formatCode="0.##"/>
  </x:numFmts>
  <x:fonts count="11">
    <x:font>
      <x:sz val="11"/>
      <x:name val="Carlito"/>
    </x:font>
    <x:font>
      <x:sz val="10"/>
      <x:color rgb="FF172B42"/>
      <x:name val="Arial"/>
    </x:font>
    <x:font>
      <x:b/>
      <x:sz val="16"/>
      <x:color rgb="FF172B42"/>
      <x:name val="Arial"/>
    </x:font>
    <x:font>
      <x:sz val="10"/>
      <x:color rgb="FF5F6F81"/>
      <x:name val="Arial"/>
    </x:font>
    <x:font>
      <x:b/>
      <x:sz val="10"/>
      <x:color rgb="FFFFFFFF"/>
      <x:name val="Arial"/>
    </x:font>
    <x:font>
      <x:sz val="10"/>
      <x:color rgb="FF1D4ED8"/>
      <x:name val="Arial"/>
    </x:font>
    <x:font>
      <x:sz val="10"/>
      <x:color rgb="FF226142"/>
      <x:name val="Arial"/>
    </x:font>
    <x:font>
      <x:b/>
      <x:sz val="10"/>
      <x:color rgb="FF172B42"/>
      <x:name val="Arial"/>
    </x:font>
    <x:font>
      <x:b/>
      <x:sz val="12"/>
      <x:color rgb="FF1D4ED8"/>
      <x:name val="Arial"/>
    </x:font>
    <x:font>
      <x:b/>
      <x:sz val="10"/>
      <x:color rgb="FF53677D"/>
      <x:name val="Arial"/>
    </x:font>
    <x:font>
      <x:sz val="10"/>
      <x:color rgb="FF7B4C04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53677D"/>
      </x:patternFill>
    </x:fill>
    <x:fill>
      <x:patternFill patternType="solid">
        <x:fgColor rgb="FF263C52"/>
      </x:patternFill>
    </x:fill>
    <x:fill>
      <x:patternFill patternType="solid">
        <x:fgColor rgb="FFF4F8FF"/>
      </x:patternFill>
    </x:fill>
    <x:fill>
      <x:patternFill patternType="solid">
        <x:fgColor rgb="FFF0F3F7"/>
      </x:patternFill>
    </x:fill>
    <x:fill>
      <x:patternFill patternType="solid">
        <x:fgColor rgb="FFEDF6EF"/>
      </x:patternFill>
    </x:fill>
    <x:fill>
      <x:patternFill patternType="solid">
        <x:fgColor rgb="FFF3F5F8"/>
      </x:patternFill>
    </x:fill>
    <x:fill>
      <x:patternFill patternType="solid">
        <x:fgColor rgb="FFFFF4DE"/>
      </x:patternFill>
    </x:fill>
  </x:fills>
  <x:borders count="8">
    <x:border>
      <x:left/>
      <x:right/>
      <x:top/>
      <x:bottom/>
      <x:diagonal/>
    </x:border>
    <x:border>
      <x:left/>
      <x:right/>
      <x:top/>
      <x:bottom style="thin">
        <x:color rgb="FFDCE4EC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 style="thin">
        <x:color rgb="FFDCE4EC"/>
      </x:top>
      <x:bottom style="thin">
        <x:color rgb="FFDCE4EC"/>
      </x:bottom>
      <x:diagonal/>
    </x:border>
    <x:border>
      <x:left/>
      <x:right/>
      <x:top style="thin">
        <x:color rgb="FFDCE4EC"/>
      </x:top>
      <x:bottom/>
      <x:diagonal/>
    </x:border>
    <x:border>
      <x:left/>
      <x:right/>
      <x:top/>
      <x:bottom style="medium">
        <x:color rgb="FF1D4ED8"/>
      </x:bottom>
      <x:diagonal/>
    </x:border>
  </x:borders>
  <x:cellStyleXfs count="1">
    <x:xf numFmtId="0" fontId="0" fillId="0" borderId="0"/>
  </x:cellStyleXfs>
  <x:cellXfs count="1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4" fillId="3" borderId="3" xfId="0" applyNumberFormat="1" applyFont="1" applyFill="1" applyBorder="1" applyAlignment="1">
      <x:alignment vertical="center"/>
    </x:xf>
    <x:xf numFmtId="0" fontId="4" fillId="3" borderId="4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 applyAlignment="1">
      <x:alignment vertical="center" wrapText="1"/>
    </x:xf>
    <x:xf numFmtId="0" fontId="4" fillId="3" borderId="4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4" fillId="3" borderId="4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1" xfId="0" applyNumberFormat="1" applyFont="1" applyFill="1" applyBorder="1" applyAlignment="1">
      <x:alignment vertical="center"/>
    </x:xf>
    <x:xf numFmtId="0" fontId="5" fillId="4" borderId="5" xfId="0" applyNumberFormat="1" applyFont="1" applyFill="1" applyBorder="1" applyAlignment="1">
      <x:alignment vertical="center"/>
    </x:xf>
    <x:xf numFmtId="0" fontId="5" fillId="4" borderId="6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 applyAlignment="1">
      <x:alignment vertical="center"/>
    </x:xf>
    <x:xf numFmtId="0" fontId="5" fillId="5" borderId="5" xfId="0" applyNumberFormat="1" applyFont="1" applyFill="1" applyBorder="1" applyAlignment="1">
      <x:alignment vertical="center"/>
    </x:xf>
    <x:xf numFmtId="0" fontId="5" fillId="5" borderId="6" xfId="0" applyNumberFormat="1" applyFont="1" applyFill="1" applyBorder="1" applyAlignment="1">
      <x:alignment vertical="center"/>
    </x:xf>
    <x:xf numFmtId="200" fontId="5" fillId="4" borderId="1" xfId="0" applyNumberFormat="1" applyFont="1" applyFill="1" applyBorder="1" applyAlignment="1">
      <x:alignment vertical="center"/>
    </x:xf>
    <x:xf numFmtId="200" fontId="5" fillId="4" borderId="5" xfId="0" applyNumberFormat="1" applyFont="1" applyFill="1" applyBorder="1" applyAlignment="1">
      <x:alignment vertical="center"/>
    </x:xf>
    <x:xf numFmtId="200" fontId="5" fillId="4" borderId="6" xfId="0" applyNumberFormat="1" applyFont="1" applyFill="1" applyBorder="1" applyAlignment="1">
      <x:alignment vertical="center"/>
    </x:xf>
    <x:xf numFmtId="200" fontId="5" fillId="4" borderId="1" xfId="0" applyNumberFormat="1" applyFont="1" applyFill="1" applyBorder="1" applyAlignment="1">
      <x:alignment vertical="center" wrapText="1"/>
    </x:xf>
    <x:xf numFmtId="200" fontId="5" fillId="4" borderId="5" xfId="0" applyNumberFormat="1" applyFont="1" applyFill="1" applyBorder="1" applyAlignment="1">
      <x:alignment vertical="center" wrapText="1"/>
    </x:xf>
    <x:xf numFmtId="200" fontId="5" fillId="4" borderId="6" xfId="0" applyNumberFormat="1" applyFont="1" applyFill="1" applyBorder="1" applyAlignment="1">
      <x:alignment vertical="center" wrapText="1"/>
    </x:xf>
    <x:xf numFmtId="200" fontId="5" fillId="4" borderId="1" xfId="0" applyNumberFormat="1" applyFont="1" applyFill="1" applyBorder="1" applyAlignment="1">
      <x:alignment horizontal="left" vertical="center" wrapText="1"/>
    </x:xf>
    <x:xf numFmtId="200" fontId="5" fillId="4" borderId="5" xfId="0" applyNumberFormat="1" applyFont="1" applyFill="1" applyBorder="1" applyAlignment="1">
      <x:alignment horizontal="left" vertical="center" wrapText="1"/>
    </x:xf>
    <x:xf numFmtId="200" fontId="5" fillId="4" borderId="6" xfId="0" applyNumberFormat="1" applyFont="1" applyFill="1" applyBorder="1" applyAlignment="1">
      <x:alignment horizontal="left" vertical="center" wrapText="1"/>
    </x:xf>
    <x:xf numFmtId="201" fontId="5" fillId="4" borderId="1" xfId="0" applyNumberFormat="1" applyFont="1" applyFill="1" applyBorder="1" applyAlignment="1">
      <x:alignment vertical="center"/>
    </x:xf>
    <x:xf numFmtId="201" fontId="5" fillId="4" borderId="5" xfId="0" applyNumberFormat="1" applyFont="1" applyFill="1" applyBorder="1" applyAlignment="1">
      <x:alignment vertical="center"/>
    </x:xf>
    <x:xf numFmtId="201" fontId="5" fillId="4" borderId="6" xfId="0" applyNumberFormat="1" applyFont="1" applyFill="1" applyBorder="1" applyAlignment="1">
      <x:alignment vertical="center"/>
    </x:xf>
    <x:xf numFmtId="201" fontId="5" fillId="4" borderId="1" xfId="0" applyNumberFormat="1" applyFont="1" applyFill="1" applyBorder="1" applyAlignment="1">
      <x:alignment horizontal="right" vertical="center"/>
    </x:xf>
    <x:xf numFmtId="201" fontId="5" fillId="4" borderId="5" xfId="0" applyNumberFormat="1" applyFont="1" applyFill="1" applyBorder="1" applyAlignment="1">
      <x:alignment horizontal="right" vertical="center"/>
    </x:xf>
    <x:xf numFmtId="201" fontId="5" fillId="4" borderId="6" xfId="0" applyNumberFormat="1" applyFont="1" applyFill="1" applyBorder="1" applyAlignment="1">
      <x:alignment horizontal="right" vertical="center"/>
    </x:xf>
    <x:xf numFmtId="202" fontId="5" fillId="4" borderId="1" xfId="0" applyNumberFormat="1" applyFont="1" applyFill="1" applyBorder="1" applyAlignment="1">
      <x:alignment vertical="center"/>
    </x:xf>
    <x:xf numFmtId="202" fontId="5" fillId="4" borderId="5" xfId="0" applyNumberFormat="1" applyFont="1" applyFill="1" applyBorder="1" applyAlignment="1">
      <x:alignment vertical="center"/>
    </x:xf>
    <x:xf numFmtId="202" fontId="5" fillId="4" borderId="6" xfId="0" applyNumberFormat="1" applyFont="1" applyFill="1" applyBorder="1" applyAlignment="1">
      <x:alignment vertical="center"/>
    </x:xf>
    <x:xf numFmtId="202" fontId="5" fillId="4" borderId="1" xfId="0" applyNumberFormat="1" applyFont="1" applyFill="1" applyBorder="1" applyAlignment="1">
      <x:alignment horizontal="right" vertical="center"/>
    </x:xf>
    <x:xf numFmtId="202" fontId="5" fillId="4" borderId="5" xfId="0" applyNumberFormat="1" applyFont="1" applyFill="1" applyBorder="1" applyAlignment="1">
      <x:alignment horizontal="right" vertical="center"/>
    </x:xf>
    <x:xf numFmtId="202" fontId="5" fillId="4" borderId="6" xfId="0" applyNumberFormat="1" applyFont="1" applyFill="1" applyBorder="1" applyAlignment="1">
      <x:alignment horizontal="right" vertical="center"/>
    </x:xf>
    <x:xf numFmtId="203" fontId="5" fillId="4" borderId="1" xfId="0" applyNumberFormat="1" applyFont="1" applyFill="1" applyBorder="1" applyAlignment="1">
      <x:alignment vertical="center"/>
    </x:xf>
    <x:xf numFmtId="203" fontId="5" fillId="4" borderId="5" xfId="0" applyNumberFormat="1" applyFont="1" applyFill="1" applyBorder="1" applyAlignment="1">
      <x:alignment vertical="center"/>
    </x:xf>
    <x:xf numFmtId="203" fontId="5" fillId="4" borderId="6" xfId="0" applyNumberFormat="1" applyFont="1" applyFill="1" applyBorder="1" applyAlignment="1">
      <x:alignment vertical="center"/>
    </x:xf>
    <x:xf numFmtId="203" fontId="5" fillId="4" borderId="1" xfId="0" applyNumberFormat="1" applyFont="1" applyFill="1" applyBorder="1" applyAlignment="1">
      <x:alignment horizontal="right" vertical="center"/>
    </x:xf>
    <x:xf numFmtId="203" fontId="5" fillId="4" borderId="5" xfId="0" applyNumberFormat="1" applyFont="1" applyFill="1" applyBorder="1" applyAlignment="1">
      <x:alignment horizontal="right" vertical="center"/>
    </x:xf>
    <x:xf numFmtId="203" fontId="5" fillId="4" borderId="6" xfId="0" applyNumberFormat="1" applyFont="1" applyFill="1" applyBorder="1" applyAlignment="1">
      <x:alignment horizontal="right" vertical="center"/>
    </x:xf>
    <x:xf numFmtId="204" fontId="5" fillId="4" borderId="1" xfId="0" applyNumberFormat="1" applyFont="1" applyFill="1" applyBorder="1" applyAlignment="1">
      <x:alignment vertical="center"/>
    </x:xf>
    <x:xf numFmtId="204" fontId="5" fillId="4" borderId="5" xfId="0" applyNumberFormat="1" applyFont="1" applyFill="1" applyBorder="1" applyAlignment="1">
      <x:alignment vertical="center"/>
    </x:xf>
    <x:xf numFmtId="204" fontId="5" fillId="4" borderId="6" xfId="0" applyNumberFormat="1" applyFont="1" applyFill="1" applyBorder="1" applyAlignment="1">
      <x:alignment vertical="center"/>
    </x:xf>
    <x:xf numFmtId="204" fontId="5" fillId="4" borderId="1" xfId="0" applyNumberFormat="1" applyFont="1" applyFill="1" applyBorder="1" applyAlignment="1">
      <x:alignment horizontal="right" vertical="center"/>
    </x:xf>
    <x:xf numFmtId="204" fontId="5" fillId="4" borderId="5" xfId="0" applyNumberFormat="1" applyFont="1" applyFill="1" applyBorder="1" applyAlignment="1">
      <x:alignment horizontal="right" vertical="center"/>
    </x:xf>
    <x:xf numFmtId="204" fontId="5" fillId="4" borderId="6" xfId="0" applyNumberFormat="1" applyFont="1" applyFill="1" applyBorder="1" applyAlignment="1">
      <x:alignment horizontal="right" vertical="center"/>
    </x:xf>
    <x:xf numFmtId="205" fontId="5" fillId="4" borderId="1" xfId="0" applyNumberFormat="1" applyFont="1" applyFill="1" applyBorder="1" applyAlignment="1">
      <x:alignment vertical="center"/>
    </x:xf>
    <x:xf numFmtId="205" fontId="5" fillId="4" borderId="5" xfId="0" applyNumberFormat="1" applyFont="1" applyFill="1" applyBorder="1" applyAlignment="1">
      <x:alignment vertical="center"/>
    </x:xf>
    <x:xf numFmtId="205" fontId="5" fillId="4" borderId="6" xfId="0" applyNumberFormat="1" applyFont="1" applyFill="1" applyBorder="1" applyAlignment="1">
      <x:alignment vertical="center"/>
    </x:xf>
    <x:xf numFmtId="205" fontId="5" fillId="4" borderId="1" xfId="0" applyNumberFormat="1" applyFont="1" applyFill="1" applyBorder="1" applyAlignment="1">
      <x:alignment horizontal="right" vertical="center"/>
    </x:xf>
    <x:xf numFmtId="205" fontId="5" fillId="4" borderId="5" xfId="0" applyNumberFormat="1" applyFont="1" applyFill="1" applyBorder="1" applyAlignment="1">
      <x:alignment horizontal="right" vertical="center"/>
    </x:xf>
    <x:xf numFmtId="205" fontId="5" fillId="4" borderId="6" xfId="0" applyNumberFormat="1" applyFont="1" applyFill="1" applyBorder="1" applyAlignment="1">
      <x:alignment horizontal="right" vertical="center"/>
    </x:xf>
    <x:xf numFmtId="201" fontId="5" fillId="6" borderId="1" xfId="0" applyNumberFormat="1" applyFont="1" applyFill="1" applyBorder="1" applyAlignment="1">
      <x:alignment horizontal="right" vertical="center"/>
    </x:xf>
    <x:xf numFmtId="201" fontId="5" fillId="6" borderId="5" xfId="0" applyNumberFormat="1" applyFont="1" applyFill="1" applyBorder="1" applyAlignment="1">
      <x:alignment horizontal="right" vertical="center"/>
    </x:xf>
    <x:xf numFmtId="201" fontId="5" fillId="6" borderId="6" xfId="0" applyNumberFormat="1" applyFont="1" applyFill="1" applyBorder="1" applyAlignment="1">
      <x:alignment horizontal="right" vertical="center"/>
    </x:xf>
    <x:xf numFmtId="201" fontId="6" fillId="6" borderId="1" xfId="0" applyNumberFormat="1" applyFont="1" applyFill="1" applyBorder="1" applyAlignment="1">
      <x:alignment horizontal="right" vertical="center"/>
    </x:xf>
    <x:xf numFmtId="201" fontId="6" fillId="6" borderId="5" xfId="0" applyNumberFormat="1" applyFont="1" applyFill="1" applyBorder="1" applyAlignment="1">
      <x:alignment horizontal="right" vertical="center"/>
    </x:xf>
    <x:xf numFmtId="201" fontId="6" fillId="6" borderId="6" xfId="0" applyNumberFormat="1" applyFont="1" applyFill="1" applyBorder="1" applyAlignment="1">
      <x:alignment horizontal="right" vertical="center"/>
    </x:xf>
    <x:xf numFmtId="202" fontId="5" fillId="6" borderId="1" xfId="0" applyNumberFormat="1" applyFont="1" applyFill="1" applyBorder="1" applyAlignment="1">
      <x:alignment horizontal="right" vertical="center"/>
    </x:xf>
    <x:xf numFmtId="202" fontId="5" fillId="6" borderId="5" xfId="0" applyNumberFormat="1" applyFont="1" applyFill="1" applyBorder="1" applyAlignment="1">
      <x:alignment horizontal="right" vertical="center"/>
    </x:xf>
    <x:xf numFmtId="202" fontId="5" fillId="6" borderId="6" xfId="0" applyNumberFormat="1" applyFont="1" applyFill="1" applyBorder="1" applyAlignment="1">
      <x:alignment horizontal="right" vertical="center"/>
    </x:xf>
    <x:xf numFmtId="202" fontId="6" fillId="6" borderId="1" xfId="0" applyNumberFormat="1" applyFont="1" applyFill="1" applyBorder="1" applyAlignment="1">
      <x:alignment horizontal="right" vertical="center"/>
    </x:xf>
    <x:xf numFmtId="202" fontId="6" fillId="6" borderId="5" xfId="0" applyNumberFormat="1" applyFont="1" applyFill="1" applyBorder="1" applyAlignment="1">
      <x:alignment horizontal="right" vertical="center"/>
    </x:xf>
    <x:xf numFmtId="202" fontId="6" fillId="6" borderId="6" xfId="0" applyNumberFormat="1" applyFont="1" applyFill="1" applyBorder="1" applyAlignment="1">
      <x:alignment horizontal="right" vertical="center"/>
    </x:xf>
    <x:xf numFmtId="0" fontId="7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horizontal="center" vertical="center"/>
    </x:xf>
    <x:xf numFmtId="0" fontId="8" fillId="4" borderId="0" xfId="0" applyNumberFormat="1" applyFont="1" applyFill="1" applyBorder="1" applyAlignment="1">
      <x:alignment vertical="center"/>
    </x:xf>
    <x:xf numFmtId="0" fontId="8" fillId="4" borderId="7" xfId="0" applyNumberFormat="1" applyFont="1" applyFill="1" applyBorder="1" applyAlignment="1">
      <x:alignment vertical="center"/>
    </x:xf>
    <x:xf numFmtId="202" fontId="8" fillId="4" borderId="7" xfId="0" applyNumberFormat="1" applyFont="1" applyFill="1" applyBorder="1" applyAlignment="1">
      <x:alignment vertical="center"/>
    </x:xf>
    <x:xf numFmtId="202" fontId="8" fillId="4" borderId="7" xfId="0" applyNumberFormat="1" applyFont="1" applyFill="1" applyBorder="1" applyAlignment="1">
      <x:alignment horizontal="right" vertical="center"/>
    </x:xf>
    <x:xf numFmtId="0" fontId="1" fillId="6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/>
    </x:xf>
    <x:xf numFmtId="202" fontId="6" fillId="6" borderId="0" xfId="0" applyNumberFormat="1" applyFont="1" applyFill="1" applyBorder="1" applyAlignment="1">
      <x:alignment vertical="center"/>
    </x:xf>
    <x:xf numFmtId="202" fontId="6" fillId="6" borderId="0" xfId="0" applyNumberFormat="1" applyFont="1" applyFill="1" applyBorder="1" applyAlignment="1">
      <x:alignment horizontal="right" vertical="center"/>
    </x:xf>
    <x:xf numFmtId="0" fontId="7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/>
    </x:xf>
    <x:xf numFmtId="0" fontId="7" fillId="7" borderId="0" xfId="0" applyNumberFormat="1" applyFont="1" applyFill="1" applyBorder="1" applyAlignment="1">
      <x:alignment vertical="center"/>
    </x:xf>
    <x:xf numFmtId="0" fontId="7" fillId="7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1" fillId="7" borderId="1" xfId="0" applyNumberFormat="1" applyFont="1" applyFill="1" applyBorder="1" applyAlignment="1">
      <x:alignment vertical="center" wrapText="1"/>
    </x:xf>
    <x:xf numFmtId="0" fontId="1" fillId="7" borderId="5" xfId="0" applyNumberFormat="1" applyFont="1" applyFill="1" applyBorder="1" applyAlignment="1">
      <x:alignment vertical="center" wrapText="1"/>
    </x:xf>
    <x:xf numFmtId="0" fontId="1" fillId="7" borderId="6" xfId="0" applyNumberFormat="1" applyFont="1" applyFill="1" applyBorder="1" applyAlignment="1">
      <x:alignment vertical="center" wrapText="1"/>
    </x:xf>
    <x:xf numFmtId="0" fontId="9" fillId="7" borderId="1" xfId="0" applyNumberFormat="1" applyFont="1" applyFill="1" applyBorder="1" applyAlignment="1">
      <x:alignment vertical="center" wrapText="1"/>
    </x:xf>
    <x:xf numFmtId="0" fontId="9" fillId="7" borderId="5" xfId="0" applyNumberFormat="1" applyFont="1" applyFill="1" applyBorder="1" applyAlignment="1">
      <x:alignment vertical="center" wrapText="1"/>
    </x:xf>
    <x:xf numFmtId="0" fontId="9" fillId="7" borderId="6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5" fillId="0" borderId="5" xfId="0" applyNumberFormat="1" applyFont="1" applyFill="1" applyBorder="1" applyAlignment="1">
      <x:alignment vertical="center" wrapText="1"/>
    </x:xf>
    <x:xf numFmtId="0" fontId="5" fillId="0" borderId="6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vertical="center"/>
    </x:xf>
    <x:xf numFmtId="0" fontId="10" fillId="8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b/>
        <x:color rgb="FFA61B29"/>
      </x:font>
      <x:fill>
        <x:patternFill patternType="solid">
          <x:bgColor rgb="FFFDEB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f7749049244134" /><Relationship Type="http://schemas.openxmlformats.org/officeDocument/2006/relationships/theme" Target="/xl/theme/theme1.xml" Id="R0ab07891cc3349dd" /><Relationship Type="http://schemas.openxmlformats.org/officeDocument/2006/relationships/sharedStrings" Target="/xl/sharedStrings.xml" Id="R94d02040ce6a44c1" /><Relationship Type="http://schemas.openxmlformats.org/officeDocument/2006/relationships/worksheet" Target="/xl/worksheets/sheet1.xml" Id="Rdf9f645a5a1e4722" /><Relationship Type="http://schemas.openxmlformats.org/officeDocument/2006/relationships/worksheet" Target="/xl/worksheets/sheet2.xml" Id="R8e83ff73d9e84d0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63C52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7" hidden="0" customWidth="1"/>
    <x:col min="2" max="2" width="15" hidden="0" customWidth="1"/>
    <x:col min="3" max="3" width="15" hidden="0" customWidth="1"/>
    <x:col min="4" max="4" width="30" hidden="0" customWidth="1"/>
    <x:col min="5" max="5" width="14" hidden="0" customWidth="1"/>
    <x:col min="6" max="6" width="14" hidden="0" customWidth="1"/>
    <x:col min="7" max="7" width="10" hidden="0" customWidth="1"/>
    <x:col min="8" max="8" width="10" hidden="0" customWidth="1"/>
    <x:col min="9" max="9" width="11" hidden="0" customWidth="1"/>
    <x:col min="10" max="10" width="12" hidden="0" customWidth="1"/>
    <x:col min="11" max="11" width="13" hidden="0" customWidth="1"/>
    <x:col min="12" max="12" width="15" hidden="0" customWidth="1"/>
    <x:col min="13" max="13" width="11" hidden="0" customWidth="1"/>
    <x:col min="14" max="14" width="12" hidden="0" customWidth="1"/>
    <x:col min="15" max="15" width="11" hidden="0" customWidth="1"/>
    <x:col min="16" max="16" width="11" hidden="0" customWidth="1"/>
    <x:col min="17" max="17" width="11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30" customHeight="1">
      <x:c r="A2" s="3" t="str">
        <x:v>Store order import template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</x:row>
    <x:row r="3" ht="24" customHeight="1">
      <x:c r="A3" s="4" t="str">
        <x:v>Save as 7953.xlsx for a market store, or Factory Name.xlsx for a factory. Add embedded pictures, save, then import Orders.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</x:row>
    <x:row r="4" ht="24" customHeight="1">
      <x:c r="A4" s="5" t="str">
        <x:v>Blue cells: enter supplier data. Green cells: calculated. Leave Group blank to skip a row. Keep the lowercase marker row intact.</x:v>
      </x:c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</x:row>
    <x:row r="5" ht="23" customHeight="1">
      <x:c r="A5" s="8" t="str">
        <x:v>group</x:v>
      </x:c>
      <x:c r="B5" s="8" t="str">
        <x:v>pic</x:v>
      </x:c>
      <x:c r="C5" s="8" t="str">
        <x:v>desc</x:v>
      </x:c>
      <x:c r="D5" s="8" t="str">
        <x:v>desc</x:v>
      </x:c>
      <x:c r="E5" s="8" t="str">
        <x:v>desc</x:v>
      </x:c>
      <x:c r="F5" s="8" t="str">
        <x:v>desc</x:v>
      </x:c>
      <x:c r="G5" s="8" t="str">
        <x:v>var</x:v>
      </x:c>
      <x:c r="H5" s="8" t="str">
        <x:v>boxes</x:v>
      </x:c>
      <x:c r="I5" s="8" t="str">
        <x:v>perbox</x:v>
      </x:c>
      <x:c r="J5" s="8" t="str">
        <x:v>qty</x:v>
      </x:c>
      <x:c r="K5" s="8" t="str">
        <x:v>price</x:v>
      </x:c>
      <x:c r="L5" s="8" t="str">
        <x:v>amount</x:v>
      </x:c>
      <x:c r="M5" s="8" t="str">
        <x:v>kg</x:v>
      </x:c>
      <x:c r="N5" s="8" t="str">
        <x:v>cbm</x:v>
      </x:c>
      <x:c r="O5" s="8" t="str">
        <x:v>cbmx</x:v>
      </x:c>
      <x:c r="P5" s="8" t="str">
        <x:v>cbmy</x:v>
      </x:c>
      <x:c r="Q5" s="8" t="str">
        <x:v>cbmz</x:v>
      </x:c>
    </x:row>
    <x:row r="6" ht="35" customHeight="1">
      <x:c r="A6" s="17" t="str">
        <x:v>Group</x:v>
      </x:c>
      <x:c r="B6" s="18" t="str">
        <x:v>Photos</x:v>
      </x:c>
      <x:c r="C6" s="18" t="str">
        <x:v>Item no.</x:v>
      </x:c>
      <x:c r="D6" s="18" t="str">
        <x:v>Product description</x:v>
      </x:c>
      <x:c r="E6" s="18" t="str">
        <x:v>Color</x:v>
      </x:c>
      <x:c r="F6" s="18" t="str">
        <x:v>Size</x:v>
      </x:c>
      <x:c r="G6" s="18" t="str">
        <x:v>Variant</x:v>
      </x:c>
      <x:c r="H6" s="18" t="str">
        <x:v>Cartons</x:v>
      </x:c>
      <x:c r="I6" s="18" t="str">
        <x:v>Pcs/box</x:v>
      </x:c>
      <x:c r="J6" s="18" t="str">
        <x:v>Total units</x:v>
      </x:c>
      <x:c r="K6" s="18" t="str">
        <x:v>Unit price (CNY)</x:v>
      </x:c>
      <x:c r="L6" s="18" t="str">
        <x:v>Line amount (CNY)</x:v>
      </x:c>
      <x:c r="M6" s="18" t="str">
        <x:v>kg/box</x:v>
      </x:c>
      <x:c r="N6" s="18" t="str">
        <x:v>m³/box</x:v>
      </x:c>
      <x:c r="O6" s="18" t="str">
        <x:v>Length cm</x:v>
      </x:c>
      <x:c r="P6" s="18" t="str">
        <x:v>Width cm</x:v>
      </x:c>
      <x:c r="Q6" s="19" t="str">
        <x:v>Height cm</x:v>
      </x:c>
    </x:row>
    <x:row r="7" ht="64" customHeight="1">
      <x:c r="A7" s="28"/>
      <x:c r="B7" s="25"/>
      <x:c r="C7" s="34"/>
      <x:c r="D7" s="34"/>
      <x:c r="E7" s="34"/>
      <x:c r="F7" s="34"/>
      <x:c r="G7" s="34"/>
      <x:c r="H7" s="40"/>
      <x:c r="I7" s="40"/>
      <x:c r="J7" s="70" t="str">
        <x:f>IF(OR(LEN($A7)=0,ISBLANK(H7),ISBLANK(I7)),"",H7*I7)</x:f>
      </x:c>
      <x:c r="K7" s="46"/>
      <x:c r="L7" s="76" t="str">
        <x:f>IF(OR(LEN($A7)=0,NOT(ISNUMBER(J7)),ISBLANK(K7)),"",ROUND(J7*K7,2))</x:f>
      </x:c>
      <x:c r="M7" s="52"/>
      <x:c r="N7" s="58"/>
      <x:c r="O7" s="64"/>
      <x:c r="P7" s="64"/>
      <x:c r="Q7" s="64"/>
    </x:row>
    <x:row r="8" ht="64" customHeight="1">
      <x:c r="A8" s="29"/>
      <x:c r="B8" s="26"/>
      <x:c r="C8" s="35"/>
      <x:c r="D8" s="35"/>
      <x:c r="E8" s="35"/>
      <x:c r="F8" s="35"/>
      <x:c r="G8" s="35"/>
      <x:c r="H8" s="41"/>
      <x:c r="I8" s="41"/>
      <x:c r="J8" s="71" t="str">
        <x:f>IF(OR(LEN($A8)=0,ISBLANK(H8),ISBLANK(I8)),"",H8*I8)</x:f>
      </x:c>
      <x:c r="K8" s="47"/>
      <x:c r="L8" s="77" t="str">
        <x:f>IF(OR(LEN($A8)=0,NOT(ISNUMBER(J8)),ISBLANK(K8)),"",ROUND(J8*K8,2))</x:f>
      </x:c>
      <x:c r="M8" s="53"/>
      <x:c r="N8" s="59"/>
      <x:c r="O8" s="65"/>
      <x:c r="P8" s="65"/>
      <x:c r="Q8" s="65"/>
    </x:row>
    <x:row r="9" ht="64" customHeight="1">
      <x:c r="A9" s="29"/>
      <x:c r="B9" s="26"/>
      <x:c r="C9" s="35"/>
      <x:c r="D9" s="35"/>
      <x:c r="E9" s="35"/>
      <x:c r="F9" s="35"/>
      <x:c r="G9" s="35"/>
      <x:c r="H9" s="41"/>
      <x:c r="I9" s="41"/>
      <x:c r="J9" s="71" t="str">
        <x:f>IF(OR(LEN($A9)=0,ISBLANK(H9),ISBLANK(I9)),"",H9*I9)</x:f>
      </x:c>
      <x:c r="K9" s="47"/>
      <x:c r="L9" s="77" t="str">
        <x:f>IF(OR(LEN($A9)=0,NOT(ISNUMBER(J9)),ISBLANK(K9)),"",ROUND(J9*K9,2))</x:f>
      </x:c>
      <x:c r="M9" s="53"/>
      <x:c r="N9" s="59"/>
      <x:c r="O9" s="65"/>
      <x:c r="P9" s="65"/>
      <x:c r="Q9" s="65"/>
    </x:row>
    <x:row r="10" ht="64" customHeight="1">
      <x:c r="A10" s="29"/>
      <x:c r="B10" s="26"/>
      <x:c r="C10" s="35"/>
      <x:c r="D10" s="35"/>
      <x:c r="E10" s="35"/>
      <x:c r="F10" s="35"/>
      <x:c r="G10" s="35"/>
      <x:c r="H10" s="41"/>
      <x:c r="I10" s="41"/>
      <x:c r="J10" s="71" t="str">
        <x:f>IF(OR(LEN($A10)=0,ISBLANK(H10),ISBLANK(I10)),"",H10*I10)</x:f>
      </x:c>
      <x:c r="K10" s="47"/>
      <x:c r="L10" s="77" t="str">
        <x:f>IF(OR(LEN($A10)=0,NOT(ISNUMBER(J10)),ISBLANK(K10)),"",ROUND(J10*K10,2))</x:f>
      </x:c>
      <x:c r="M10" s="53"/>
      <x:c r="N10" s="59"/>
      <x:c r="O10" s="65"/>
      <x:c r="P10" s="65"/>
      <x:c r="Q10" s="65"/>
    </x:row>
    <x:row r="11" ht="64" customHeight="1">
      <x:c r="A11" s="29"/>
      <x:c r="B11" s="26"/>
      <x:c r="C11" s="35"/>
      <x:c r="D11" s="35"/>
      <x:c r="E11" s="35"/>
      <x:c r="F11" s="35"/>
      <x:c r="G11" s="35"/>
      <x:c r="H11" s="41"/>
      <x:c r="I11" s="41"/>
      <x:c r="J11" s="71" t="str">
        <x:f>IF(OR(LEN($A11)=0,ISBLANK(H11),ISBLANK(I11)),"",H11*I11)</x:f>
      </x:c>
      <x:c r="K11" s="47"/>
      <x:c r="L11" s="77" t="str">
        <x:f>IF(OR(LEN($A11)=0,NOT(ISNUMBER(J11)),ISBLANK(K11)),"",ROUND(J11*K11,2))</x:f>
      </x:c>
      <x:c r="M11" s="53"/>
      <x:c r="N11" s="59"/>
      <x:c r="O11" s="65"/>
      <x:c r="P11" s="65"/>
      <x:c r="Q11" s="65"/>
    </x:row>
    <x:row r="12" ht="64" customHeight="1">
      <x:c r="A12" s="29"/>
      <x:c r="B12" s="26"/>
      <x:c r="C12" s="35"/>
      <x:c r="D12" s="35"/>
      <x:c r="E12" s="35"/>
      <x:c r="F12" s="35"/>
      <x:c r="G12" s="35"/>
      <x:c r="H12" s="41"/>
      <x:c r="I12" s="41"/>
      <x:c r="J12" s="71" t="str">
        <x:f>IF(OR(LEN($A12)=0,ISBLANK(H12),ISBLANK(I12)),"",H12*I12)</x:f>
      </x:c>
      <x:c r="K12" s="47"/>
      <x:c r="L12" s="77" t="str">
        <x:f>IF(OR(LEN($A12)=0,NOT(ISNUMBER(J12)),ISBLANK(K12)),"",ROUND(J12*K12,2))</x:f>
      </x:c>
      <x:c r="M12" s="53"/>
      <x:c r="N12" s="59"/>
      <x:c r="O12" s="65"/>
      <x:c r="P12" s="65"/>
      <x:c r="Q12" s="65"/>
    </x:row>
    <x:row r="13" ht="64" customHeight="1">
      <x:c r="A13" s="29"/>
      <x:c r="B13" s="26"/>
      <x:c r="C13" s="35"/>
      <x:c r="D13" s="35"/>
      <x:c r="E13" s="35"/>
      <x:c r="F13" s="35"/>
      <x:c r="G13" s="35"/>
      <x:c r="H13" s="41"/>
      <x:c r="I13" s="41"/>
      <x:c r="J13" s="71" t="str">
        <x:f>IF(OR(LEN($A13)=0,ISBLANK(H13),ISBLANK(I13)),"",H13*I13)</x:f>
      </x:c>
      <x:c r="K13" s="47"/>
      <x:c r="L13" s="77" t="str">
        <x:f>IF(OR(LEN($A13)=0,NOT(ISNUMBER(J13)),ISBLANK(K13)),"",ROUND(J13*K13,2))</x:f>
      </x:c>
      <x:c r="M13" s="53"/>
      <x:c r="N13" s="59"/>
      <x:c r="O13" s="65"/>
      <x:c r="P13" s="65"/>
      <x:c r="Q13" s="65"/>
    </x:row>
    <x:row r="14" ht="64" customHeight="1">
      <x:c r="A14" s="29"/>
      <x:c r="B14" s="26"/>
      <x:c r="C14" s="35"/>
      <x:c r="D14" s="35"/>
      <x:c r="E14" s="35"/>
      <x:c r="F14" s="35"/>
      <x:c r="G14" s="35"/>
      <x:c r="H14" s="41"/>
      <x:c r="I14" s="41"/>
      <x:c r="J14" s="71" t="str">
        <x:f>IF(OR(LEN($A14)=0,ISBLANK(H14),ISBLANK(I14)),"",H14*I14)</x:f>
      </x:c>
      <x:c r="K14" s="47"/>
      <x:c r="L14" s="77" t="str">
        <x:f>IF(OR(LEN($A14)=0,NOT(ISNUMBER(J14)),ISBLANK(K14)),"",ROUND(J14*K14,2))</x:f>
      </x:c>
      <x:c r="M14" s="53"/>
      <x:c r="N14" s="59"/>
      <x:c r="O14" s="65"/>
      <x:c r="P14" s="65"/>
      <x:c r="Q14" s="65"/>
    </x:row>
    <x:row r="15" ht="64" customHeight="1">
      <x:c r="A15" s="29"/>
      <x:c r="B15" s="26"/>
      <x:c r="C15" s="35"/>
      <x:c r="D15" s="35"/>
      <x:c r="E15" s="35"/>
      <x:c r="F15" s="35"/>
      <x:c r="G15" s="35"/>
      <x:c r="H15" s="41"/>
      <x:c r="I15" s="41"/>
      <x:c r="J15" s="71" t="str">
        <x:f>IF(OR(LEN($A15)=0,ISBLANK(H15),ISBLANK(I15)),"",H15*I15)</x:f>
      </x:c>
      <x:c r="K15" s="47"/>
      <x:c r="L15" s="77" t="str">
        <x:f>IF(OR(LEN($A15)=0,NOT(ISNUMBER(J15)),ISBLANK(K15)),"",ROUND(J15*K15,2))</x:f>
      </x:c>
      <x:c r="M15" s="53"/>
      <x:c r="N15" s="59"/>
      <x:c r="O15" s="65"/>
      <x:c r="P15" s="65"/>
      <x:c r="Q15" s="65"/>
    </x:row>
    <x:row r="16" ht="64" customHeight="1">
      <x:c r="A16" s="29"/>
      <x:c r="B16" s="26"/>
      <x:c r="C16" s="35"/>
      <x:c r="D16" s="35"/>
      <x:c r="E16" s="35"/>
      <x:c r="F16" s="35"/>
      <x:c r="G16" s="35"/>
      <x:c r="H16" s="41"/>
      <x:c r="I16" s="41"/>
      <x:c r="J16" s="71" t="str">
        <x:f>IF(OR(LEN($A16)=0,ISBLANK(H16),ISBLANK(I16)),"",H16*I16)</x:f>
      </x:c>
      <x:c r="K16" s="47"/>
      <x:c r="L16" s="77" t="str">
        <x:f>IF(OR(LEN($A16)=0,NOT(ISNUMBER(J16)),ISBLANK(K16)),"",ROUND(J16*K16,2))</x:f>
      </x:c>
      <x:c r="M16" s="53"/>
      <x:c r="N16" s="59"/>
      <x:c r="O16" s="65"/>
      <x:c r="P16" s="65"/>
      <x:c r="Q16" s="65"/>
    </x:row>
    <x:row r="17" ht="64" customHeight="1">
      <x:c r="A17" s="29"/>
      <x:c r="B17" s="26"/>
      <x:c r="C17" s="35"/>
      <x:c r="D17" s="35"/>
      <x:c r="E17" s="35"/>
      <x:c r="F17" s="35"/>
      <x:c r="G17" s="35"/>
      <x:c r="H17" s="41"/>
      <x:c r="I17" s="41"/>
      <x:c r="J17" s="71" t="str">
        <x:f>IF(OR(LEN($A17)=0,ISBLANK(H17),ISBLANK(I17)),"",H17*I17)</x:f>
      </x:c>
      <x:c r="K17" s="47"/>
      <x:c r="L17" s="77" t="str">
        <x:f>IF(OR(LEN($A17)=0,NOT(ISNUMBER(J17)),ISBLANK(K17)),"",ROUND(J17*K17,2))</x:f>
      </x:c>
      <x:c r="M17" s="53"/>
      <x:c r="N17" s="59"/>
      <x:c r="O17" s="65"/>
      <x:c r="P17" s="65"/>
      <x:c r="Q17" s="65"/>
    </x:row>
    <x:row r="18" ht="64" customHeight="1">
      <x:c r="A18" s="29"/>
      <x:c r="B18" s="26"/>
      <x:c r="C18" s="35"/>
      <x:c r="D18" s="35"/>
      <x:c r="E18" s="35"/>
      <x:c r="F18" s="35"/>
      <x:c r="G18" s="35"/>
      <x:c r="H18" s="41"/>
      <x:c r="I18" s="41"/>
      <x:c r="J18" s="71" t="str">
        <x:f>IF(OR(LEN($A18)=0,ISBLANK(H18),ISBLANK(I18)),"",H18*I18)</x:f>
      </x:c>
      <x:c r="K18" s="47"/>
      <x:c r="L18" s="77" t="str">
        <x:f>IF(OR(LEN($A18)=0,NOT(ISNUMBER(J18)),ISBLANK(K18)),"",ROUND(J18*K18,2))</x:f>
      </x:c>
      <x:c r="M18" s="53"/>
      <x:c r="N18" s="59"/>
      <x:c r="O18" s="65"/>
      <x:c r="P18" s="65"/>
      <x:c r="Q18" s="65"/>
    </x:row>
    <x:row r="19" ht="64" customHeight="1">
      <x:c r="A19" s="29"/>
      <x:c r="B19" s="26"/>
      <x:c r="C19" s="35"/>
      <x:c r="D19" s="35"/>
      <x:c r="E19" s="35"/>
      <x:c r="F19" s="35"/>
      <x:c r="G19" s="35"/>
      <x:c r="H19" s="41"/>
      <x:c r="I19" s="41"/>
      <x:c r="J19" s="71" t="str">
        <x:f>IF(OR(LEN($A19)=0,ISBLANK(H19),ISBLANK(I19)),"",H19*I19)</x:f>
      </x:c>
      <x:c r="K19" s="47"/>
      <x:c r="L19" s="77" t="str">
        <x:f>IF(OR(LEN($A19)=0,NOT(ISNUMBER(J19)),ISBLANK(K19)),"",ROUND(J19*K19,2))</x:f>
      </x:c>
      <x:c r="M19" s="53"/>
      <x:c r="N19" s="59"/>
      <x:c r="O19" s="65"/>
      <x:c r="P19" s="65"/>
      <x:c r="Q19" s="65"/>
    </x:row>
    <x:row r="20" ht="64" customHeight="1">
      <x:c r="A20" s="29"/>
      <x:c r="B20" s="26"/>
      <x:c r="C20" s="35"/>
      <x:c r="D20" s="35"/>
      <x:c r="E20" s="35"/>
      <x:c r="F20" s="35"/>
      <x:c r="G20" s="35"/>
      <x:c r="H20" s="41"/>
      <x:c r="I20" s="41"/>
      <x:c r="J20" s="71" t="str">
        <x:f>IF(OR(LEN($A20)=0,ISBLANK(H20),ISBLANK(I20)),"",H20*I20)</x:f>
      </x:c>
      <x:c r="K20" s="47"/>
      <x:c r="L20" s="77" t="str">
        <x:f>IF(OR(LEN($A20)=0,NOT(ISNUMBER(J20)),ISBLANK(K20)),"",ROUND(J20*K20,2))</x:f>
      </x:c>
      <x:c r="M20" s="53"/>
      <x:c r="N20" s="59"/>
      <x:c r="O20" s="65"/>
      <x:c r="P20" s="65"/>
      <x:c r="Q20" s="65"/>
    </x:row>
    <x:row r="21" ht="64" customHeight="1">
      <x:c r="A21" s="29"/>
      <x:c r="B21" s="26"/>
      <x:c r="C21" s="35"/>
      <x:c r="D21" s="35"/>
      <x:c r="E21" s="35"/>
      <x:c r="F21" s="35"/>
      <x:c r="G21" s="35"/>
      <x:c r="H21" s="41"/>
      <x:c r="I21" s="41"/>
      <x:c r="J21" s="71" t="str">
        <x:f>IF(OR(LEN($A21)=0,ISBLANK(H21),ISBLANK(I21)),"",H21*I21)</x:f>
      </x:c>
      <x:c r="K21" s="47"/>
      <x:c r="L21" s="77" t="str">
        <x:f>IF(OR(LEN($A21)=0,NOT(ISNUMBER(J21)),ISBLANK(K21)),"",ROUND(J21*K21,2))</x:f>
      </x:c>
      <x:c r="M21" s="53"/>
      <x:c r="N21" s="59"/>
      <x:c r="O21" s="65"/>
      <x:c r="P21" s="65"/>
      <x:c r="Q21" s="65"/>
    </x:row>
    <x:row r="22" ht="64" customHeight="1">
      <x:c r="A22" s="29"/>
      <x:c r="B22" s="26"/>
      <x:c r="C22" s="35"/>
      <x:c r="D22" s="35"/>
      <x:c r="E22" s="35"/>
      <x:c r="F22" s="35"/>
      <x:c r="G22" s="35"/>
      <x:c r="H22" s="41"/>
      <x:c r="I22" s="41"/>
      <x:c r="J22" s="71" t="str">
        <x:f>IF(OR(LEN($A22)=0,ISBLANK(H22),ISBLANK(I22)),"",H22*I22)</x:f>
      </x:c>
      <x:c r="K22" s="47"/>
      <x:c r="L22" s="77" t="str">
        <x:f>IF(OR(LEN($A22)=0,NOT(ISNUMBER(J22)),ISBLANK(K22)),"",ROUND(J22*K22,2))</x:f>
      </x:c>
      <x:c r="M22" s="53"/>
      <x:c r="N22" s="59"/>
      <x:c r="O22" s="65"/>
      <x:c r="P22" s="65"/>
      <x:c r="Q22" s="65"/>
    </x:row>
    <x:row r="23" ht="64" customHeight="1">
      <x:c r="A23" s="29"/>
      <x:c r="B23" s="26"/>
      <x:c r="C23" s="35"/>
      <x:c r="D23" s="35"/>
      <x:c r="E23" s="35"/>
      <x:c r="F23" s="35"/>
      <x:c r="G23" s="35"/>
      <x:c r="H23" s="41"/>
      <x:c r="I23" s="41"/>
      <x:c r="J23" s="71" t="str">
        <x:f>IF(OR(LEN($A23)=0,ISBLANK(H23),ISBLANK(I23)),"",H23*I23)</x:f>
      </x:c>
      <x:c r="K23" s="47"/>
      <x:c r="L23" s="77" t="str">
        <x:f>IF(OR(LEN($A23)=0,NOT(ISNUMBER(J23)),ISBLANK(K23)),"",ROUND(J23*K23,2))</x:f>
      </x:c>
      <x:c r="M23" s="53"/>
      <x:c r="N23" s="59"/>
      <x:c r="O23" s="65"/>
      <x:c r="P23" s="65"/>
      <x:c r="Q23" s="65"/>
    </x:row>
    <x:row r="24" ht="64" customHeight="1">
      <x:c r="A24" s="29"/>
      <x:c r="B24" s="26"/>
      <x:c r="C24" s="35"/>
      <x:c r="D24" s="35"/>
      <x:c r="E24" s="35"/>
      <x:c r="F24" s="35"/>
      <x:c r="G24" s="35"/>
      <x:c r="H24" s="41"/>
      <x:c r="I24" s="41"/>
      <x:c r="J24" s="71" t="str">
        <x:f>IF(OR(LEN($A24)=0,ISBLANK(H24),ISBLANK(I24)),"",H24*I24)</x:f>
      </x:c>
      <x:c r="K24" s="47"/>
      <x:c r="L24" s="77" t="str">
        <x:f>IF(OR(LEN($A24)=0,NOT(ISNUMBER(J24)),ISBLANK(K24)),"",ROUND(J24*K24,2))</x:f>
      </x:c>
      <x:c r="M24" s="53"/>
      <x:c r="N24" s="59"/>
      <x:c r="O24" s="65"/>
      <x:c r="P24" s="65"/>
      <x:c r="Q24" s="65"/>
    </x:row>
    <x:row r="25" ht="64" customHeight="1">
      <x:c r="A25" s="29"/>
      <x:c r="B25" s="26"/>
      <x:c r="C25" s="35"/>
      <x:c r="D25" s="35"/>
      <x:c r="E25" s="35"/>
      <x:c r="F25" s="35"/>
      <x:c r="G25" s="35"/>
      <x:c r="H25" s="41"/>
      <x:c r="I25" s="41"/>
      <x:c r="J25" s="71" t="str">
        <x:f>IF(OR(LEN($A25)=0,ISBLANK(H25),ISBLANK(I25)),"",H25*I25)</x:f>
      </x:c>
      <x:c r="K25" s="47"/>
      <x:c r="L25" s="77" t="str">
        <x:f>IF(OR(LEN($A25)=0,NOT(ISNUMBER(J25)),ISBLANK(K25)),"",ROUND(J25*K25,2))</x:f>
      </x:c>
      <x:c r="M25" s="53"/>
      <x:c r="N25" s="59"/>
      <x:c r="O25" s="65"/>
      <x:c r="P25" s="65"/>
      <x:c r="Q25" s="65"/>
    </x:row>
    <x:row r="26" ht="64" customHeight="1">
      <x:c r="A26" s="30"/>
      <x:c r="B26" s="27"/>
      <x:c r="C26" s="36"/>
      <x:c r="D26" s="36"/>
      <x:c r="E26" s="36"/>
      <x:c r="F26" s="36"/>
      <x:c r="G26" s="36"/>
      <x:c r="H26" s="42"/>
      <x:c r="I26" s="42"/>
      <x:c r="J26" s="72" t="str">
        <x:f>IF(OR(LEN($A26)=0,ISBLANK(H26),ISBLANK(I26)),"",H26*I26)</x:f>
      </x:c>
      <x:c r="K26" s="48"/>
      <x:c r="L26" s="78" t="str">
        <x:f>IF(OR(LEN($A26)=0,NOT(ISNUMBER(J26)),ISBLANK(K26)),"",ROUND(J26*K26,2))</x:f>
      </x:c>
      <x:c r="M26" s="54"/>
      <x:c r="N26" s="60"/>
      <x:c r="O26" s="66"/>
      <x:c r="P26" s="66"/>
      <x:c r="Q26" s="66"/>
    </x:row>
    <x:row r="27" ht="22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</x:row>
    <x:row r="28" ht="26" customHeight="1">
      <x:c r="A28" s="4"/>
      <x:c r="B28" s="4" t="str">
        <x:v>Need more rows? Insert rows above row 26 and copy a nearby blank row, including its formulas and formatting.</x:v>
      </x:c>
      <x:c r="C28" s="4"/>
      <x:c r="D28" s="4"/>
      <x:c r="E28" s="4"/>
      <x:c r="F28" s="4"/>
      <x:c r="G28" s="4"/>
      <x:c r="H28" s="4"/>
      <x:c r="I28" s="4"/>
      <x:c r="J28" s="2"/>
      <x:c r="K28" s="2"/>
      <x:c r="L28" s="2"/>
      <x:c r="M28" s="2"/>
      <x:c r="N28" s="2"/>
      <x:c r="O28" s="2"/>
      <x:c r="P28" s="2"/>
      <x:c r="Q28" s="2"/>
    </x:row>
    <x:row r="29" ht="22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80" t="str">
        <x:v>Invoice total</x:v>
      </x:c>
      <x:c r="M29" s="2"/>
      <x:c r="N29" s="2"/>
      <x:c r="O29" s="2"/>
      <x:c r="P29" s="2"/>
      <x:c r="Q29" s="2"/>
    </x:row>
    <x:row r="30" ht="30" customHeight="1">
      <x:c r="A30" s="4"/>
      <x:c r="B30" s="4" t="str">
        <x:v>Enter the independent supplier invoice total between the two total markers. Do not link it to Rows total.</x:v>
      </x:c>
      <x:c r="C30" s="4"/>
      <x:c r="D30" s="4"/>
      <x:c r="E30" s="4"/>
      <x:c r="F30" s="4"/>
      <x:c r="G30" s="4"/>
      <x:c r="H30" s="4"/>
      <x:c r="I30" s="4"/>
      <x:c r="J30" s="2"/>
      <x:c r="K30" s="8" t="str">
        <x:v>total</x:v>
      </x:c>
      <x:c r="L30" s="84"/>
      <x:c r="M30" s="8" t="str">
        <x:v>total</x:v>
      </x:c>
      <x:c r="N30" s="2"/>
      <x:c r="O30" s="2"/>
      <x:c r="P30" s="2"/>
      <x:c r="Q30" s="2"/>
    </x:row>
    <x:row r="31" ht="22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</x:row>
    <x:row r="32" ht="22" customHeight="1">
      <x:c r="A32" s="4"/>
      <x:c r="B32" s="4" t="str">
        <x:v>Required for included rows: Group, Photos, Cartons and Unit price. Provide Pcs/box or Total units. See Guide for quantities and variants.</x:v>
      </x:c>
      <x:c r="C32" s="4"/>
      <x:c r="D32" s="4"/>
      <x:c r="E32" s="4"/>
      <x:c r="F32" s="4"/>
      <x:c r="G32" s="4"/>
      <x:c r="H32" s="4"/>
      <x:c r="I32" s="4"/>
      <x:c r="J32" s="2"/>
      <x:c r="K32" s="2" t="str">
        <x:v>Rows total</x:v>
      </x:c>
      <x:c r="L32" s="88" t="str">
        <x:f>IF(COUNTA(A7:A26)=0,"",SUMIFS(L7:L26,A7:A26,"&lt;&gt;"))</x:f>
      </x:c>
      <x:c r="M32" s="2"/>
      <x:c r="N32" s="2"/>
      <x:c r="O32" s="2"/>
      <x:c r="P32" s="2"/>
      <x:c r="Q32" s="2"/>
    </x:row>
    <x:row r="33" ht="22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 t="str">
        <x:v>Difference</x:v>
      </x:c>
      <x:c r="L33" s="88" t="str">
        <x:f>IF(OR(ISBLANK(L30),NOT(ISNUMBER(L32))),"",ROUND(L30-L32,2))</x:f>
      </x:c>
      <x:c r="M33" s="2"/>
      <x:c r="N33" s="2"/>
      <x:c r="O33" s="2"/>
      <x:c r="P33" s="2"/>
      <x:c r="Q33" s="2"/>
    </x:row>
    <x:row r="34" ht="22" customHeight="1">
      <x:c r="A34" s="4"/>
      <x:c r="B34" s="4" t="str">
        <x:v>Save the workbook after editing so formulas and embedded pictures are available to the importer. Confirm the purchase date during import review.</x:v>
      </x:c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</x:row>
  </x:sheetData>
  <x:conditionalFormatting sqref="L33:L33">
    <x:cfRule type="expression" dxfId="0" priority="1">
      <x:formula>AND(ISNUMBER(L33),L33&lt;&gt;0)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A8B5C3"/>
  </x:sheetPr>
  <x:sheetViews>
    <x:sheetView showGridLines="0" workbookViewId="0"/>
  </x:sheetViews>
  <x:sheetFormatPr defaultRowHeight="15"/>
  <x:cols>
    <x:col min="1" max="1" width="19" hidden="0" customWidth="1"/>
    <x:col min="2" max="2" width="31" hidden="0" customWidth="1"/>
    <x:col min="3" max="3" width="16" hidden="0" customWidth="1"/>
    <x:col min="4" max="4" width="24" hidden="0" customWidth="1"/>
    <x:col min="5" max="5" width="77" hidden="0" customWidth="1"/>
  </x:cols>
  <x:sheetData>
    <x:row r="1" ht="10" customHeight="1">
      <x:c r="A1" s="2"/>
      <x:c r="B1" s="2"/>
      <x:c r="C1" s="2"/>
      <x:c r="D1" s="2"/>
      <x:c r="E1" s="2"/>
    </x:row>
    <x:row r="2" ht="30" customHeight="1">
      <x:c r="A2" s="3" t="str">
        <x:v>Import guide</x:v>
      </x:c>
      <x:c r="B2" s="3"/>
      <x:c r="C2" s="3"/>
      <x:c r="D2" s="3"/>
      <x:c r="E2" s="3"/>
    </x:row>
    <x:row r="3" ht="24" customHeight="1">
      <x:c r="A3" s="5" t="str">
        <x:v>Use one workbook per purchase. Re-importing the same file creates another order.</x:v>
      </x:c>
      <x:c r="B3" s="5"/>
      <x:c r="C3" s="5"/>
      <x:c r="D3" s="5"/>
      <x:c r="E3" s="5"/>
    </x:row>
    <x:row r="4" ht="22" customHeight="1">
      <x:c r="A4" s="2"/>
      <x:c r="B4" s="2"/>
      <x:c r="C4" s="2"/>
      <x:c r="D4" s="2"/>
      <x:c r="E4" s="2"/>
    </x:row>
    <x:row r="5" ht="25" customHeight="1">
      <x:c r="A5" s="10" t="str">
        <x:v>Prepare the file</x:v>
      </x:c>
      <x:c r="B5" s="10"/>
      <x:c r="C5" s="10"/>
      <x:c r="D5" s="10"/>
      <x:c r="E5" s="10"/>
    </x:row>
    <x:row r="6" ht="32" customHeight="1">
      <x:c r="A6" s="89" t="str">
        <x:v>1. Name the copy</x:v>
      </x:c>
      <x:c r="B6" s="90" t="str">
        <x:v>Use 7953.xlsx for market store 7953, or Factory Name.xlsx for a factory. Windows copy suffixes such as (2) keep the same store identity.</x:v>
      </x:c>
      <x:c r="C6" s="90"/>
      <x:c r="D6" s="90"/>
      <x:c r="E6" s="90"/>
    </x:row>
    <x:row r="7" ht="40" customHeight="1">
      <x:c r="A7" s="89" t="str">
        <x:v>2. Add products</x:v>
      </x:c>
      <x:c r="B7" s="90" t="inlineStr">
        <x:is>
          <x:t>Use Orders rows 7–26. Keep row 5 markers. Fill Group to include a row; blank skips it. Equal Group values share one product base, even with different titles or separated rows.</x:t>
        </x:is>
      </x:c>
      <x:c r="C7" s="90"/>
      <x:c r="D7" s="90"/>
      <x:c r="E7" s="90"/>
    </x:row>
    <x:row r="8" ht="32" customHeight="1">
      <x:c r="A8" s="89" t="str">
        <x:v>3. Add pictures</x:v>
      </x:c>
      <x:c r="B8" s="90" t="str">
        <x:v>Insert embedded pictures in Photos (column B), inside the correct product row. Multiple pictures are allowed. Do not use linked pictures or IMAGE() URLs.</x:v>
      </x:c>
      <x:c r="C8" s="90"/>
      <x:c r="D8" s="90"/>
      <x:c r="E8" s="90"/>
    </x:row>
    <x:row r="9" ht="32" customHeight="1">
      <x:c r="A9" s="89" t="str">
        <x:v>4. Check totals</x:v>
      </x:c>
      <x:c r="B9" s="90" t="str">
        <x:v>Enter the supplier invoice total in Orders!L30. Qty and amount formulas help calculation; the invoice total stays independent for verification.</x:v>
      </x:c>
      <x:c r="C9" s="90"/>
      <x:c r="D9" s="90"/>
      <x:c r="E9" s="90"/>
    </x:row>
    <x:row r="10" ht="44" customHeight="1">
      <x:c r="A10" s="89" t="inlineStr">
        <x:is>
          <x:t>5. Save and review</x:t>
        </x:is>
      </x:c>
      <x:c r="B10" s="90" t="inlineStr">
        <x:is>
          <x:t xml:space="preserve">Save in Excel or WPS. Review the purchase date, photos, quantities and total, then choose Review products and codes. Edit details and endings before Import and assign codes.</x:t>
        </x:is>
      </x:c>
      <x:c r="C10" s="90"/>
      <x:c r="D10" s="90"/>
      <x:c r="E10" s="90"/>
    </x:row>
    <x:row r="11" ht="32" customHeight="1">
      <x:c r="A11" s="89" t="str">
        <x:v>Input colors</x:v>
      </x:c>
      <x:c r="B11" s="90" t="str">
        <x:v>Blue text and pale blue cells are editable. Pale green cells calculate. Formulas can be replaced by supplier values when the manual-quantity route is needed.</x:v>
      </x:c>
      <x:c r="C11" s="90"/>
      <x:c r="D11" s="90"/>
      <x:c r="E11" s="90"/>
    </x:row>
    <x:row r="12" ht="22" customHeight="1">
      <x:c r="A12" s="2"/>
      <x:c r="B12" s="2"/>
      <x:c r="C12" s="2"/>
      <x:c r="D12" s="2"/>
      <x:c r="E12" s="2"/>
    </x:row>
    <x:row r="13" ht="25" customHeight="1">
      <x:c r="A13" s="10" t="str">
        <x:v>Standard markers</x:v>
      </x:c>
      <x:c r="B13" s="10"/>
      <x:c r="C13" s="10"/>
      <x:c r="D13" s="10"/>
      <x:c r="E13" s="10"/>
    </x:row>
    <x:row r="14" ht="25" customHeight="1">
      <x:c r="A14" s="93" t="str">
        <x:v>Marker</x:v>
      </x:c>
      <x:c r="B14" s="93" t="str">
        <x:v>Meaning</x:v>
      </x:c>
      <x:c r="C14" s="93" t="str">
        <x:v>Required</x:v>
      </x:c>
      <x:c r="D14" s="93" t="str">
        <x:v>Example</x:v>
      </x:c>
      <x:c r="E14" s="93" t="str">
        <x:v>How to use it</x:v>
      </x:c>
    </x:row>
    <x:row r="15" ht="38" customHeight="1">
      <x:c r="A15" s="103" t="str">
        <x:v>pic</x:v>
      </x:c>
      <x:c r="B15" s="97" t="str">
        <x:v>Product pictures</x:v>
      </x:c>
      <x:c r="C15" s="97" t="str">
        <x:v>Always</x:v>
      </x:c>
      <x:c r="D15" s="106" t="str">
        <x:v>Embedded image</x:v>
      </x:c>
      <x:c r="E15" s="97" t="str">
        <x:v>Place every picture within its product row. Missing or ambiguous pictures block import.</x:v>
      </x:c>
    </x:row>
    <x:row r="16" ht="38" customHeight="1">
      <x:c r="A16" s="104" t="str">
        <x:v>desc</x:v>
      </x:c>
      <x:c r="B16" s="98" t="str">
        <x:v>Original description</x:v>
      </x:c>
      <x:c r="C16" s="98" t="str">
        <x:v>Optional</x:v>
      </x:c>
      <x:c r="D16" s="107" t="str">
        <x:v>Item no. / name / color / size</x:v>
      </x:c>
      <x:c r="E16" s="98" t="str">
        <x:v>Repeat desc across columns C–F. Only marked columns are imported; Item no., Color and Size headers identify the data type.</x:v>
      </x:c>
    </x:row>
    <x:row r="17" ht="38" customHeight="1">
      <x:c r="A17" s="104" t="str">
        <x:v>boxes</x:v>
      </x:c>
      <x:c r="B17" s="98" t="str">
        <x:v>Number of cartons</x:v>
      </x:c>
      <x:c r="C17" s="98" t="str">
        <x:v>Always</x:v>
      </x:c>
      <x:c r="D17" s="107" t="str">
        <x:v>2</x:v>
      </x:c>
      <x:c r="E17" s="98" t="str">
        <x:v>Cartons for this product row. Enter an exact positive whole number.</x:v>
      </x:c>
    </x:row>
    <x:row r="18" ht="38" customHeight="1">
      <x:c r="A18" s="104" t="str">
        <x:v>perbox</x:v>
      </x:c>
      <x:c r="B18" s="98" t="str">
        <x:v>Pieces in one carton</x:v>
      </x:c>
      <x:c r="C18" s="98" t="str">
        <x:v>Either/or</x:v>
      </x:c>
      <x:c r="D18" s="107" t="str">
        <x:v>10</x:v>
      </x:c>
      <x:c r="E18" s="98" t="str">
        <x:v>Provide perbox or qty, or both. If both exist, boxes × perbox must equal qty.</x:v>
      </x:c>
    </x:row>
    <x:row r="19" ht="38" customHeight="1">
      <x:c r="A19" s="104" t="str">
        <x:v>qty</x:v>
      </x:c>
      <x:c r="B19" s="98" t="str">
        <x:v>Total pieces for this row</x:v>
      </x:c>
      <x:c r="C19" s="98" t="str">
        <x:v>Either/or</x:v>
      </x:c>
      <x:c r="D19" s="107" t="str">
        <x:v>20</x:v>
      </x:c>
      <x:c r="E19" s="98" t="str">
        <x:v>Default formula: boxes × perbox. For a manual total, replace the qty formula with the supplier number and leave perbox blank.</x:v>
      </x:c>
    </x:row>
    <x:row r="20" ht="38" customHeight="1">
      <x:c r="A20" s="104" t="str">
        <x:v>price</x:v>
      </x:c>
      <x:c r="B20" s="98" t="str">
        <x:v>Unit price in CNY</x:v>
      </x:c>
      <x:c r="C20" s="98" t="str">
        <x:v>Always</x:v>
      </x:c>
      <x:c r="D20" s="107" t="str">
        <x:v>3.00</x:v>
      </x:c>
      <x:c r="E20" s="98" t="str">
        <x:v>Price for one piece. Currency text such as ¥ or RMB is accepted, but numeric cells are easier to check.</x:v>
      </x:c>
    </x:row>
    <x:row r="21" ht="38" customHeight="1">
      <x:c r="A21" s="104" t="str">
        <x:v>amount</x:v>
      </x:c>
      <x:c r="B21" s="98" t="str">
        <x:v>Line amount in CNY</x:v>
      </x:c>
      <x:c r="C21" s="98" t="str">
        <x:v>Optional</x:v>
      </x:c>
      <x:c r="D21" s="107" t="str">
        <x:v>60.00</x:v>
      </x:c>
      <x:c r="E21" s="98" t="str">
        <x:v>Default formula: price × qty, rounded to cents. Import review detects a supplied amount that does not reconcile.</x:v>
      </x:c>
    </x:row>
    <x:row r="22" ht="54" customHeight="1">
      <x:c r="A22" s="104" t="str">
        <x:v>group</x:v>
      </x:c>
      <x:c r="B22" s="98" t="str">
        <x:v>Product group ID</x:v>
      </x:c>
      <x:c r="C22" s="98" t="str">
        <x:v>Always</x:v>
      </x:c>
      <x:c r="D22" s="107" t="str">
        <x:v>1</x:v>
      </x:c>
      <x:c r="E22" s="98" t="inlineStr">
        <x:is>
          <x:t>Equal values share one editable product base, even across separated rows or different titles. Blank skips the row. A value such as 12 never assigns CE digits 0012.</x:t>
        </x:is>
      </x:c>
    </x:row>
    <x:row r="23" ht="62" customHeight="1">
      <x:c r="A23" s="104" t="str">
        <x:v>var</x:v>
      </x:c>
      <x:c r="B23" s="98" t="str">
        <x:v>Variant and/or size</x:v>
      </x:c>
      <x:c r="C23" s="98" t="str">
        <x:v>Optional</x:v>
      </x:c>
      <x:c r="D23" s="107" t="str">
        <x:v>A / B / AB / ABS</x:v>
      </x:c>
      <x:c r="E23" s="98" t="inlineStr">
        <x:is>
          <x:t xml:space="preserve">A nonblank var is the complete suggested ending: a means A, s means size S, and as means AS. Description measurements do not add extra size endings. AB needs a reviewed quantity split; ABS means A+B in S. Blank var keeps normal suggestions.</x:t>
        </x:is>
      </x:c>
    </x:row>
    <x:row r="24" ht="38" customHeight="1">
      <x:c r="A24" s="104" t="str">
        <x:v>kg</x:v>
      </x:c>
      <x:c r="B24" s="98" t="str">
        <x:v>Weight of one carton</x:v>
      </x:c>
      <x:c r="C24" s="98" t="str">
        <x:v>Optional</x:v>
      </x:c>
      <x:c r="D24" s="107" t="str">
        <x:v>20.5</x:v>
      </x:c>
      <x:c r="E24" s="98" t="str">
        <x:v>Always kg per carton. This is not the whole product weight.</x:v>
      </x:c>
    </x:row>
    <x:row r="25" ht="38" customHeight="1">
      <x:c r="A25" s="104" t="str">
        <x:v>cbm</x:v>
      </x:c>
      <x:c r="B25" s="98" t="str">
        <x:v>Volume of one carton</x:v>
      </x:c>
      <x:c r="C25" s="98" t="str">
        <x:v>Optional</x:v>
      </x:c>
      <x:c r="D25" s="107" t="str">
        <x:v>0.105</x:v>
      </x:c>
      <x:c r="E25" s="98" t="str">
        <x:v>Always m³ per carton. Complete centimetre dimensions take priority over this decimal volume.</x:v>
      </x:c>
    </x:row>
    <x:row r="26" ht="38" customHeight="1">
      <x:c r="A26" s="104" t="str">
        <x:v>cbmx</x:v>
      </x:c>
      <x:c r="B26" s="98" t="str">
        <x:v>Carton length in cm</x:v>
      </x:c>
      <x:c r="C26" s="98" t="str">
        <x:v>Optional</x:v>
      </x:c>
      <x:c r="D26" s="107" t="str">
        <x:v>70</x:v>
      </x:c>
      <x:c r="E26" s="98" t="str">
        <x:v>Use all three dimensions together: cbmx × cbmy × cbmz ÷ 1,000,000 gives m³ per carton.</x:v>
      </x:c>
    </x:row>
    <x:row r="27" ht="38" customHeight="1">
      <x:c r="A27" s="104" t="str">
        <x:v>cbmy</x:v>
      </x:c>
      <x:c r="B27" s="98" t="str">
        <x:v>Carton width in cm</x:v>
      </x:c>
      <x:c r="C27" s="98" t="str">
        <x:v>Optional</x:v>
      </x:c>
      <x:c r="D27" s="107" t="str">
        <x:v>50</x:v>
      </x:c>
      <x:c r="E27" s="98" t="str">
        <x:v>If a dimension is unknown, leave all three blank and use cbm when available.</x:v>
      </x:c>
    </x:row>
    <x:row r="28" ht="38" customHeight="1">
      <x:c r="A28" s="104" t="str">
        <x:v>cbmz</x:v>
      </x:c>
      <x:c r="B28" s="98" t="str">
        <x:v>Carton height in cm</x:v>
      </x:c>
      <x:c r="C28" s="98" t="str">
        <x:v>Optional</x:v>
      </x:c>
      <x:c r="D28" s="107" t="str">
        <x:v>30</x:v>
      </x:c>
      <x:c r="E28" s="98" t="str">
        <x:v>Preserve the supplier decimal CBM even when dimensions provide the displayed calculation.</x:v>
      </x:c>
    </x:row>
    <x:row r="29" ht="38" customHeight="1">
      <x:c r="A29" s="105" t="str">
        <x:v>total</x:v>
      </x:c>
      <x:c r="B29" s="99" t="str">
        <x:v>Whole invoice control</x:v>
      </x:c>
      <x:c r="C29" s="99" t="str">
        <x:v>Always</x:v>
      </x:c>
      <x:c r="D29" s="108" t="str">
        <x:v>total  60.00  total</x:v>
      </x:c>
      <x:c r="E29" s="99" t="str">
        <x:v>Keep Orders!K30 and M30 as total. Enter the independent supplier invoice amount in L30 between them.</x:v>
      </x:c>
    </x:row>
    <x:row r="30" ht="22" customHeight="1">
      <x:c r="A30" s="2"/>
      <x:c r="B30" s="2"/>
      <x:c r="C30" s="2"/>
      <x:c r="D30" s="2"/>
      <x:c r="E30" s="2"/>
    </x:row>
    <x:row r="31" ht="25" customHeight="1">
      <x:c r="A31" s="10" t="str">
        <x:v>Variants and quantities</x:v>
      </x:c>
      <x:c r="B31" s="10"/>
      <x:c r="C31" s="10"/>
      <x:c r="D31" s="10"/>
      <x:c r="E31" s="10"/>
    </x:row>
    <x:row r="32" ht="46" customHeight="1">
      <x:c r="A32" s="97" t="str">
        <x:v>One row per variant</x:v>
      </x:c>
      <x:c r="B32" s="97" t="str">
        <x:v>Group 1</x:v>
      </x:c>
      <x:c r="C32" s="97" t="str">
        <x:v>A, then B</x:v>
      </x:c>
      <x:c r="D32" s="97" t="str">
        <x:v>20 and 30 pieces</x:v>
      </x:c>
      <x:c r="E32" s="97" t="inlineStr">
        <x:is>
          <x:t>Both rows share one editable product base, even if titles differ. Each source row keeps its own pictures, cartons, quantity and price.</x:t>
        </x:is>
      </x:c>
    </x:row>
    <x:row r="33" ht="46" customHeight="1">
      <x:c r="A33" s="98" t="str">
        <x:v>Combined variants</x:v>
      </x:c>
      <x:c r="B33" s="98" t="str">
        <x:v>Group 2</x:v>
      </x:c>
      <x:c r="C33" s="98" t="str">
        <x:v>AB</x:v>
      </x:c>
      <x:c r="D33" s="98" t="str">
        <x:v>40 combined pieces</x:v>
      </x:c>
      <x:c r="E33" s="98" t="inlineStr">
        <x:is>
          <x:t>Enter actual positive A/B quantities summing to 40. Preserve the source amount. The source cartons are retained once, never copied to each variant.</x:t>
        </x:is>
      </x:c>
    </x:row>
    <x:row r="34" ht="54" customHeight="1">
      <x:c r="A34" s="98" t="str">
        <x:v>Models and sizes</x:v>
      </x:c>
      <x:c r="B34" s="98" t="str">
        <x:v>Group 3</x:v>
      </x:c>
      <x:c r="C34" s="98" t="str">
        <x:v>ABS / ABM / ABL</x:v>
      </x:c>
      <x:c r="D34" s="98" t="str">
        <x:v>A+B by size</x:v>
      </x:c>
      <x:c r="E34" s="98" t="inlineStr">
        <x:is>
          <x:t>abs, abm and abl mean A+B in S, M and L. Review each combined row’s quantities, then variant/size endings. Unknown sizes block final import.</x:t>
        </x:is>
      </x:c>
    </x:row>
    <x:row r="35" ht="38" customHeight="1">
      <x:c r="A35" s="99" t="str">
        <x:v>Leftover pieces</x:v>
      </x:c>
      <x:c r="B35" s="99" t="str">
        <x:v>105 pieces</x:v>
      </x:c>
      <x:c r="C35" s="99" t="str">
        <x:v>10 pieces per box</x:v>
      </x:c>
      <x:c r="D35" s="99" t="str">
        <x:v>Requires review</x:v>
      </x:c>
      <x:c r="E35" s="99" t="str">
        <x:v>Do not invent a partial carton count. Confirm the actual carton or mixed-carton packing before printing carton marks.</x:v>
      </x:c>
    </x:row>
    <x:row r="36" ht="22" customHeight="1">
      <x:c r="A36" s="2"/>
      <x:c r="B36" s="2"/>
      <x:c r="C36" s="2"/>
      <x:c r="D36" s="2"/>
      <x:c r="E36" s="2"/>
    </x:row>
    <x:row r="37" ht="34" customHeight="1">
      <x:c r="A37" s="110" t="inlineStr">
        <x:is>
          <x:t>Missing pictures, incorrect totals, unresolved sizes and invalid or conflicting codes block final import. Correct each issue before confirming.</x:t>
        </x:is>
      </x:c>
      <x:c r="B37" s="110"/>
      <x:c r="C37" s="110"/>
      <x:c r="D37" s="110"/>
      <x:c r="E37" s="110"/>
    </x:row>
    <x:row r="38" ht="22" customHeight="1">
      <x:c r="A38" s="2"/>
      <x:c r="B38" s="2"/>
      <x:c r="C38" s="2"/>
      <x:c r="D38" s="2"/>
      <x:c r="E38" s="2"/>
    </x:row>
    <x:row r="39" ht="22" customHeight="1">
      <x:c r="A39" s="4" t="str">
        <x:v>More products: insert rows inside Orders rows 7–26, then copy a neighbouring row so formulas and formatting continue.</x:v>
      </x:c>
      <x:c r="B39" s="4"/>
      <x:c r="C39" s="4"/>
      <x:c r="D39" s="4"/>
      <x:c r="E39" s="4"/>
    </x:row>
    <x:row r="40" ht="22" customHeight="1">
      <x:c r="A40" s="2"/>
      <x:c r="B40" s="2"/>
      <x:c r="C40" s="2"/>
      <x:c r="D40" s="2"/>
      <x:c r="E40" s="2"/>
    </x:row>
    <x:row r="41" ht="25" customHeight="1">
      <x:c r="A41" s="10" t="inlineStr">
        <x:is>
          <x:t xml:space="preserve">Review products and codes</x:t>
        </x:is>
      </x:c>
      <x:c r="B41" s="10" t="inlineStr">
        <x:is>
          <x:t/>
        </x:is>
      </x:c>
      <x:c r="C41" s="10" t="inlineStr">
        <x:is>
          <x:t/>
        </x:is>
      </x:c>
      <x:c r="D41" s="10" t="inlineStr">
        <x:is>
          <x:t/>
        </x:is>
      </x:c>
      <x:c r="E41" s="10" t="inlineStr">
        <x:is>
          <x:t/>
        </x:is>
      </x:c>
    </x:row>
    <x:row r="42" ht="40" customHeight="1">
      <x:c r="A42" s="89" t="inlineStr">
        <x:is>
          <x:t>1. Check workbook</x:t>
        </x:is>
      </x:c>
      <x:c r="B42" s="90" t="inlineStr">
        <x:is>
          <x:t xml:space="preserve">Confirm the purchase date and check photos, quantities, combined-variant allocations and invoice total. Review products and codes becomes available after these checks.</x:t>
        </x:is>
      </x:c>
      <x:c r="C42" s="90" t="inlineStr">
        <x:is>
          <x:t/>
        </x:is>
      </x:c>
      <x:c r="D42" s="90" t="inlineStr">
        <x:is>
          <x:t/>
        </x:is>
      </x:c>
      <x:c r="E42" s="90" t="inlineStr">
        <x:is>
          <x:t/>
        </x:is>
      </x:c>
    </x:row>
    <x:row r="43" ht="40" customHeight="1">
      <x:c r="A43" s="89" t="inlineStr">
        <x:is>
          <x:t xml:space="preserve">2. Review products</x:t>
        </x:is>
      </x:c>
      <x:c r="B43" s="90" t="inlineStr">
        <x:is>
          <x:t xml:space="preserve">Review products and codes opens editable details and proposals. It does not save an order, photos or preparation and does not reserve codes.</x:t>
        </x:is>
      </x:c>
      <x:c r="C43" s="90" t="inlineStr">
        <x:is>
          <x:t/>
        </x:is>
      </x:c>
      <x:c r="D43" s="90" t="inlineStr">
        <x:is>
          <x:t/>
        </x:is>
      </x:c>
      <x:c r="E43" s="90" t="inlineStr">
        <x:is>
          <x:t/>
        </x:is>
      </x:c>
    </x:row>
    <x:row r="44" ht="40" customHeight="1">
      <x:c r="A44" s="89" t="inlineStr">
        <x:is>
          <x:t>3. Edit group base</x:t>
        </x:is>
      </x:c>
      <x:c r="B44" s="90" t="inlineStr">
        <x:is>
          <x:t>Edit one CE base for the whole source group. Equal group values stay together regardless of title or row position; group text is not assigned CE digits.</x:t>
        </x:is>
      </x:c>
      <x:c r="C44" s="90" t="inlineStr">
        <x:is>
          <x:t/>
        </x:is>
      </x:c>
      <x:c r="D44" s="90" t="inlineStr">
        <x:is>
          <x:t/>
        </x:is>
      </x:c>
      <x:c r="E44" s="90" t="inlineStr">
        <x:is>
          <x:t/>
        </x:is>
      </x:c>
    </x:row>
    <x:row r="45" ht="40" customHeight="1">
      <x:c r="A45" s="89" t="inlineStr">
        <x:is>
          <x:t>4. Edit endings</x:t>
        </x:is>
      </x:c>
      <x:c r="B45" s="90" t="inlineStr">
        <x:is>
          <x:t xml:space="preserve">Review each variant ending and size ending. Full barcodes update as you edit. Nonblank var declarations are complete endings. Resolve unknown inferred sizes or choose Do not add size endings; physical measurements stay in descriptions.</x:t>
        </x:is>
      </x:c>
      <x:c r="C45" s="90" t="inlineStr">
        <x:is>
          <x:t/>
        </x:is>
      </x:c>
      <x:c r="D45" s="90" t="inlineStr">
        <x:is>
          <x:t/>
        </x:is>
      </x:c>
      <x:c r="E45" s="90" t="inlineStr">
        <x:is>
          <x:t/>
        </x:is>
      </x:c>
    </x:row>
    <x:row r="46" ht="40" customHeight="1">
      <x:c r="A46" s="89" t="inlineStr">
        <x:is>
          <x:t>5. Confirm import</x:t>
        </x:is>
      </x:c>
      <x:c r="B46" s="90" t="inlineStr">
        <x:is>
          <x:t xml:space="preserve">Import and assign codes revalidates the current library and saves the order, photos, authored details, preparation, code assignments and source carton facts together. A failure saves none of them.</x:t>
        </x:is>
      </x:c>
      <x:c r="C46" s="90" t="inlineStr">
        <x:is>
          <x:t/>
        </x:is>
      </x:c>
      <x:c r="D46" s="90" t="inlineStr">
        <x:is>
          <x:t/>
        </x:is>
      </x:c>
      <x:c r="E46" s="90" t="inlineStr">
        <x:is>
          <x:t/>
        </x:is>
      </x:c>
    </x:row>
    <x:row r="47" ht="22" customHeight="1">
      <x:c r="A47" s="0" t="inlineStr">
        <x:is>
          <x:t/>
        </x:is>
      </x:c>
      <x:c r="B47" s="0" t="inlineStr">
        <x:is>
          <x:t/>
        </x:is>
      </x:c>
      <x:c r="C47" s="0" t="inlineStr">
        <x:is>
          <x:t/>
        </x:is>
      </x:c>
      <x:c r="D47" s="0" t="inlineStr">
        <x:is>
          <x:t/>
        </x:is>
      </x:c>
      <x:c r="E47" s="0" t="inlineStr">
        <x:is>
          <x:t/>
        </x:is>
      </x:c>
    </x:row>
    <x:row r="48" ht="28" customHeight="1">
      <x:c r="A48" s="93" t="inlineStr">
        <x:is>
          <x:t>Example</x:t>
        </x:is>
      </x:c>
      <x:c r="B48" s="93" t="inlineStr">
        <x:is>
          <x:t>Source group</x:t>
        </x:is>
      </x:c>
      <x:c r="C48" s="93" t="inlineStr">
        <x:is>
          <x:t>var / size</x:t>
        </x:is>
      </x:c>
      <x:c r="D48" s="93" t="inlineStr">
        <x:is>
          <x:t>Proposed result</x:t>
        </x:is>
      </x:c>
      <x:c r="E48" s="93" t="inlineStr">
        <x:is>
          <x:t>Review meaning</x:t>
        </x:is>
      </x:c>
    </x:row>
    <x:row r="49" ht="62" customHeight="1">
      <x:c r="A49" s="97" t="inlineStr">
        <x:is>
          <x:t>Same group</x:t>
        </x:is>
      </x:c>
      <x:c r="B49" s="97" t="inlineStr">
        <x:is>
          <x:t>tray · rows 7 and 10</x:t>
        </x:is>
      </x:c>
      <x:c r="C49" s="97" t="inlineStr">
        <x:is>
          <x:t>A, then B</x:t>
        </x:is>
      </x:c>
      <x:c r="D49" s="97" t="inlineStr">
        <x:is>
          <x:t>CE26100101A
CE26100101B</x:t>
        </x:is>
      </x:c>
      <x:c r="E49" s="97" t="inlineStr">
        <x:is>
          <x:t xml:space="preserve">Both share CE26100101, even with different titles. A base edit updates both. The literal group tray never sets CE digits. A/B declarations remain A/B even when descriptions contain different measurements.</x:t>
        </x:is>
      </x:c>
    </x:row>
    <x:row r="50" ht="62" customHeight="1">
      <x:c r="A50" s="98" t="inlineStr">
        <x:is>
          <x:t>Combined row</x:t>
        </x:is>
      </x:c>
      <x:c r="B50" s="98" t="inlineStr">
        <x:is>
          <x:t>mix · one row</x:t>
        </x:is>
      </x:c>
      <x:c r="C50" s="98" t="inlineStr">
        <x:is>
          <x:t>abcd</x:t>
        </x:is>
      </x:c>
      <x:c r="D50" s="98" t="inlineStr">
        <x:is>
          <x:t>40 pieces: 7 / 11 / 9 / 13</x:t>
        </x:is>
      </x:c>
      <x:c r="E50" s="98" t="inlineStr">
        <x:is>
          <x:t>The actual split sums to 40 and preserves the row amount. Confirm its source cartons once; do not multiply cartons by four.</x:t>
        </x:is>
      </x:c>
    </x:row>
    <x:row r="51" ht="62" customHeight="1">
      <x:c r="A51" s="98" t="inlineStr">
        <x:is>
          <x:t>Models and sizes</x:t>
        </x:is>
      </x:c>
      <x:c r="B51" s="98" t="inlineStr">
        <x:is>
          <x:t>shirt</x:t>
        </x:is>
      </x:c>
      <x:c r="C51" s="98" t="inlineStr">
        <x:is>
          <x:t>abs</x:t>
        </x:is>
      </x:c>
      <x:c r="D51" s="98" t="inlineStr">
        <x:is>
          <x:t>A + S / B + S</x:t>
        </x:is>
      </x:c>
      <x:c r="E51" s="98" t="inlineStr">
        <x:is>
          <x:t xml:space="preserve">Allocate the real A/B quantities in size S. Review both endings and full barcodes. Do not add size endings is an explicit coding choice, not a claim that physical sizes are equal.</x:t>
        </x:is>
      </x:c>
    </x:row>
    <x:row r="52" ht="62" customHeight="1">
      <x:c r="A52" s="98" t="inlineStr">
        <x:is>
          <x:t>Valid ownership</x:t>
        </x:is>
      </x:c>
      <x:c r="B52" s="98" t="inlineStr">
        <x:is>
          <x:t>Purchase: 2026-10</x:t>
        </x:is>
      </x:c>
      <x:c r="C52" s="98" t="inlineStr">
        <x:is>
          <x:t>Known supplier</x:t>
        </x:is>
      </x:c>
      <x:c r="D52" s="98" t="inlineStr">
        <x:is>
          <x:t>CE26100101</x:t>
        </x:is>
      </x:c>
      <x:c r="E52" s="98" t="inlineStr">
        <x:is>
          <x:t>Illustrative October 2026 base only. Actual proposals must use the purchase month and known supplier and respect current assignments and immutable shipment history.</x:t>
        </x:is>
      </x:c>
    </x:row>
    <x:row r="53" ht="62" customHeight="1">
      <x:c r="A53" s="98" t="inlineStr">
        <x:is>
          <x:t>Return or reset</x:t>
        </x:is>
      </x:c>
      <x:c r="B53" s="98" t="inlineStr">
        <x:is>
          <x:t>Back / Cancel</x:t>
        </x:is>
      </x:c>
      <x:c r="C53" s="98" t="inlineStr">
        <x:is>
          <x:t>Reset to suggested</x:t>
        </x:is>
      </x:c>
      <x:c r="D53" s="98" t="inlineStr">
        <x:is>
          <x:t>No reservation</x:t>
        </x:is>
      </x:c>
      <x:c r="E53" s="98" t="inlineStr">
        <x:is>
          <x:t xml:space="preserve">Back returns to workbook checks; Cancel exits without saving; Reset to suggested restores proposals while preserving authored details. A conflict before final save blocks the whole import.</x:t>
        </x:is>
      </x:c>
    </x:row>
    <x:row r="54" ht="40" customHeight="1">
      <x:c r="A54" s="89" t="inlineStr">
        <x:is>
          <x:t>Source facts</x:t>
        </x:is>
      </x:c>
      <x:c r="B54" s="90" t="inlineStr">
        <x:is>
          <x:t>Code edits retain original photos, marked descriptions, purchase quantities, prices and totals. Source carton facts remain separate from barcode endings and later physical-packing decisions.</x:t>
        </x:is>
      </x:c>
      <x:c r="C54" s="90" t="inlineStr">
        <x:is>
          <x:t/>
        </x:is>
      </x:c>
      <x:c r="D54" s="90" t="inlineStr">
        <x:is>
          <x:t/>
        </x:is>
      </x:c>
      <x:c r="E54" s="90" t="inlineStr">
        <x:is>
          <x:t/>
        </x:is>
      </x:c>
    </x:row>
    <x:row r="56" ht="28" customHeight="1">
      <x:c r="A56" s="93" t="inlineStr">
        <x:is>
          <x:t xml:space="preserve">Scope</x:t>
        </x:is>
      </x:c>
      <x:c r="B56" s="93" t="inlineStr">
        <x:is>
          <x:t xml:space="preserve">Control</x:t>
        </x:is>
      </x:c>
      <x:c r="C56" s="93" t="inlineStr">
        <x:is>
          <x:t xml:space="preserve">Spanish name</x:t>
        </x:is>
      </x:c>
      <x:c r="D56" s="93" t="inlineStr">
        <x:is>
          <x:t xml:space="preserve">Chinese category</x:t>
        </x:is>
      </x:c>
      <x:c r="E56" s="93" t="inlineStr">
        <x:is>
          <x:t xml:space="preserve">Material and exceptions</x:t>
        </x:is>
      </x:c>
    </x:row>
    <x:row r="57" ht="62" customHeight="1">
      <x:c r="A57" s="97" t="inlineStr">
        <x:is>
          <x:t xml:space="preserve">Entire order</x:t>
        </x:is>
      </x:c>
      <x:c r="B57" s="97" t="inlineStr">
        <x:is>
          <x:t xml:space="preserve">Edit order details</x:t>
        </x:is>
      </x:c>
      <x:c r="C57" s="97" t="inlineStr">
        <x:is>
          <x:t xml:space="preserve">All groups</x:t>
        </x:is>
      </x:c>
      <x:c r="D57" s="97" t="inlineStr">
        <x:is>
          <x:t xml:space="preserve">All groups; each carton mark keeps its group value</x:t>
        </x:is>
      </x:c>
      <x:c r="E57" s="97" t="inlineStr">
        <x:is>
          <x:t xml:space="preserve">All variants and source rows in the purchase. Keep custom values preserves manual exceptions and deliberate blanks by default.</x:t>
        </x:is>
      </x:c>
    </x:row>
    <x:row r="58" ht="62" customHeight="1">
      <x:c r="A58" s="97" t="inlineStr">
        <x:is>
          <x:t xml:space="preserve">CE product group</x:t>
        </x:is>
      </x:c>
      <x:c r="B58" s="97" t="inlineStr">
        <x:is>
          <x:t xml:space="preserve">Edit group details</x:t>
        </x:is>
      </x:c>
      <x:c r="C58" s="97" t="inlineStr">
        <x:is>
          <x:t xml:space="preserve">Shared base name and variant exceptions</x:t>
        </x:is>
      </x:c>
      <x:c r="D58" s="97" t="inlineStr">
        <x:is>
          <x:t xml:space="preserve">One shared carton-mark category</x:t>
        </x:is>
      </x:c>
      <x:c r="E58" s="97" t="inlineStr">
        <x:is>
          <x:t xml:space="preserve">All variants and source rows in one CE group. Mixed materials remain visible.</x:t>
        </x:is>
      </x:c>
    </x:row>
    <x:row r="59" ht="62" customHeight="1">
      <x:c r="A59" s="97" t="inlineStr">
        <x:is>
          <x:t xml:space="preserve">Individual variant</x:t>
        </x:is>
      </x:c>
      <x:c r="B59" s="97" t="inlineStr">
        <x:is>
          <x:t xml:space="preserve">Edit variant details</x:t>
        </x:is>
      </x:c>
      <x:c r="C59" s="97" t="inlineStr">
        <x:is>
          <x:t xml:space="preserve">One barcode identity</x:t>
        </x:is>
      </x:c>
      <x:c r="D59" s="97" t="inlineStr">
        <x:is>
          <x:t xml:space="preserve">Shared group value; use Edit group category</x:t>
        </x:is>
      </x:c>
      <x:c r="E59" s="97" t="inlineStr">
        <x:is>
          <x:t xml:space="preserve">The variant's source rows. A shared Spanish name affects every row with that barcode, without combining quantities or prices.</x:t>
        </x:is>
      </x:c>
    </x:row>
    <x:row r="60" ht="62" customHeight="1">
      <x:c r="A60" s="97" t="inlineStr">
        <x:is>
          <x:t xml:space="preserve">Apply or cancel</x:t>
        </x:is>
      </x:c>
      <x:c r="B60" s="97" t="inlineStr">
        <x:is>
          <x:t xml:space="preserve">Choose fields before Apply</x:t>
        </x:is>
      </x:c>
      <x:c r="C60" s="97" t="inlineStr">
        <x:is>
          <x:t xml:space="preserve">Untouched fields stay unchanged</x:t>
        </x:is>
      </x:c>
      <x:c r="D60" s="97" t="inlineStr">
        <x:is>
          <x:t xml:space="preserve">Replace all values replaces custom exceptions explicitly</x:t>
        </x:is>
      </x:c>
      <x:c r="E60" s="97" t="inlineStr">
        <x:is>
          <x:t xml:space="preserve">Review affected counts. Cancel changes nothing. Controls also appear in Orders. Correct existing codes through group size handling; do not reimport a purchase to repair its codes.</x:t>
        </x:is>
      </x:c>
    </x:row>
  </x:sheetData>
  <x:mergeCells>
    <x:mergeCell ref="B6:E6"/>
    <x:mergeCell ref="B7:E7"/>
    <x:mergeCell ref="B8:E8"/>
    <x:mergeCell ref="B9:E9"/>
    <x:mergeCell ref="B10:E10"/>
    <x:mergeCell ref="B11:E11"/>
    <x:mergeCell ref="B42:E42"/>
    <x:mergeCell ref="B43:E43"/>
    <x:mergeCell ref="B44:E44"/>
    <x:mergeCell ref="B45:E45"/>
    <x:mergeCell ref="B46:E46"/>
    <x:mergeCell ref="B54:E54"/>
  </x:mergeCells>
  <x:pageMargins left="0.7" right="0.7" top="0.75" bottom="0.75" header="0.3" footer="0.3"/>
</x:worksheet>
</file>